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成交日期</t>
        </is>
      </c>
      <c r="B1" t="inlineStr">
        <is>
          <t>成交时间</t>
        </is>
      </c>
      <c r="C1" t="inlineStr">
        <is>
          <t>市场</t>
        </is>
      </c>
      <c r="D1" t="inlineStr">
        <is>
          <t>代码</t>
        </is>
      </c>
      <c r="E1" t="inlineStr">
        <is>
          <t>名称</t>
        </is>
      </c>
      <c r="F1" t="inlineStr">
        <is>
          <t>方向</t>
        </is>
      </c>
      <c r="G1" t="inlineStr">
        <is>
          <t>成交数量</t>
        </is>
      </c>
      <c r="H1" t="inlineStr">
        <is>
          <t>成交均价</t>
        </is>
      </c>
      <c r="I1" t="inlineStr">
        <is>
          <t>成交金额</t>
        </is>
      </c>
      <c r="J1" t="inlineStr">
        <is>
          <t>币种</t>
        </is>
      </c>
      <c r="K1" t="inlineStr">
        <is>
          <t>对手经纪</t>
        </is>
      </c>
    </row>
    <row r="2">
      <c r="A2">
        <f>"2024-10-09"</f>
        <v/>
      </c>
      <c r="B2">
        <f>"09:30:12"</f>
        <v/>
      </c>
      <c r="C2">
        <f>"港股"</f>
        <v/>
      </c>
      <c r="D2">
        <f>"02576"</f>
        <v/>
      </c>
      <c r="E2">
        <f>"太美医疗科技"</f>
        <v/>
      </c>
      <c r="F2">
        <f>"买入"</f>
        <v/>
      </c>
      <c r="G2">
        <f>"400"</f>
        <v/>
      </c>
      <c r="H2">
        <f>"9.100"</f>
        <v/>
      </c>
      <c r="I2">
        <f>"3640.00"</f>
        <v/>
      </c>
      <c r="J2">
        <f>"港币"</f>
        <v/>
      </c>
      <c r="K2">
        <f>"辉立"</f>
        <v/>
      </c>
    </row>
    <row r="3">
      <c r="A3">
        <f>"2024-10-09"</f>
        <v/>
      </c>
      <c r="B3">
        <f>"09:30:12"</f>
        <v/>
      </c>
      <c r="C3">
        <f>"港股"</f>
        <v/>
      </c>
      <c r="D3">
        <f>"02576"</f>
        <v/>
      </c>
      <c r="E3">
        <f>"太美医疗科技"</f>
        <v/>
      </c>
      <c r="F3">
        <f>"买入"</f>
        <v/>
      </c>
      <c r="G3">
        <f>"1000"</f>
        <v/>
      </c>
      <c r="H3">
        <f>"9.100"</f>
        <v/>
      </c>
      <c r="I3">
        <f>"9100.00"</f>
        <v/>
      </c>
      <c r="J3">
        <f>"港币"</f>
        <v/>
      </c>
      <c r="K3">
        <f>"辉立"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2026-06-18T16:24:59Z</dcterms:created>
  <dcterms:modified xmlns:dcterms="http://purl.org/dc/terms/" xmlns:xsi="http://www.w3.org/2001/XMLSchema-instance" xsi:type="dcterms:W3CDTF">2026-06-18T16:24:59Z</dcterms:modified>
</cp:coreProperties>
</file>