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成交日期</t>
        </is>
      </c>
      <c r="B1" t="inlineStr">
        <is>
          <t>成交时间</t>
        </is>
      </c>
      <c r="C1" t="inlineStr">
        <is>
          <t>代码</t>
        </is>
      </c>
      <c r="D1" t="inlineStr">
        <is>
          <t>名称</t>
        </is>
      </c>
      <c r="E1" t="inlineStr">
        <is>
          <t>方向</t>
        </is>
      </c>
      <c r="F1" t="inlineStr">
        <is>
          <t>成交数量</t>
        </is>
      </c>
      <c r="G1" t="inlineStr">
        <is>
          <t>成交均价</t>
        </is>
      </c>
      <c r="H1" t="inlineStr">
        <is>
          <t>成交金额</t>
        </is>
      </c>
      <c r="I1" t="inlineStr">
        <is>
          <t>币种</t>
        </is>
      </c>
    </row>
    <row r="2">
      <c r="A2">
        <f>"2024-12-19"</f>
        <v/>
      </c>
      <c r="B2">
        <f>"23:24:17"</f>
        <v/>
      </c>
      <c r="C2">
        <f>"AMD"</f>
        <v/>
      </c>
      <c r="D2">
        <f>"美国超威"</f>
        <v/>
      </c>
      <c r="E2">
        <f>"买入"</f>
        <v/>
      </c>
      <c r="F2">
        <f>"150"</f>
        <v/>
      </c>
      <c r="G2">
        <f>"120.000"</f>
        <v/>
      </c>
      <c r="H2">
        <f>"18000.00"</f>
        <v/>
      </c>
      <c r="I2">
        <f>"美元"</f>
        <v/>
      </c>
    </row>
    <row r="3">
      <c r="A3">
        <f>"2024-12-09"</f>
        <v/>
      </c>
      <c r="B3">
        <f>"22:00:44"</f>
        <v/>
      </c>
      <c r="C3">
        <f>"SONN"</f>
        <v/>
      </c>
      <c r="D3">
        <f>"Sonnet BioTherapeutics Holdings Inc."</f>
        <v/>
      </c>
      <c r="E3">
        <f>"卖出"</f>
        <v/>
      </c>
      <c r="F3">
        <f>"66"</f>
        <v/>
      </c>
      <c r="G3">
        <f>"3.900"</f>
        <v/>
      </c>
      <c r="H3">
        <f>"257.40"</f>
        <v/>
      </c>
      <c r="I3">
        <f>"美元"</f>
        <v/>
      </c>
    </row>
    <row r="4">
      <c r="A4">
        <f>"2024-12-09"</f>
        <v/>
      </c>
      <c r="B4">
        <f>"22:00:44"</f>
        <v/>
      </c>
      <c r="C4">
        <f>"SONN"</f>
        <v/>
      </c>
      <c r="D4">
        <f>"Sonnet BioTherapeutics Holdings Inc."</f>
        <v/>
      </c>
      <c r="E4">
        <f>"卖出"</f>
        <v/>
      </c>
      <c r="F4">
        <f>"8"</f>
        <v/>
      </c>
      <c r="G4">
        <f>"3.900"</f>
        <v/>
      </c>
      <c r="H4">
        <f>"31.20"</f>
        <v/>
      </c>
      <c r="I4">
        <f>"美元"</f>
        <v/>
      </c>
    </row>
    <row r="5">
      <c r="A5">
        <f>"2024-12-09"</f>
        <v/>
      </c>
      <c r="B5">
        <f>"22:00:43"</f>
        <v/>
      </c>
      <c r="C5">
        <f>"SONN"</f>
        <v/>
      </c>
      <c r="D5">
        <f>"Sonnet BioTherapeutics Holdings Inc."</f>
        <v/>
      </c>
      <c r="E5">
        <f>"卖出"</f>
        <v/>
      </c>
      <c r="F5">
        <f>"800"</f>
        <v/>
      </c>
      <c r="G5">
        <f>"3.900"</f>
        <v/>
      </c>
      <c r="H5">
        <f>"3120.00"</f>
        <v/>
      </c>
      <c r="I5">
        <f>"美元"</f>
        <v/>
      </c>
    </row>
    <row r="6">
      <c r="A6">
        <f>"2024-12-09"</f>
        <v/>
      </c>
      <c r="B6">
        <f>"22:00:43"</f>
        <v/>
      </c>
      <c r="C6">
        <f>"SONN"</f>
        <v/>
      </c>
      <c r="D6">
        <f>"Sonnet BioTherapeutics Holdings Inc."</f>
        <v/>
      </c>
      <c r="E6">
        <f>"卖出"</f>
        <v/>
      </c>
      <c r="F6">
        <f>"3585"</f>
        <v/>
      </c>
      <c r="G6">
        <f>"3.900"</f>
        <v/>
      </c>
      <c r="H6">
        <f>"13981.50"</f>
        <v/>
      </c>
      <c r="I6">
        <f>"美元"</f>
        <v/>
      </c>
    </row>
    <row r="7">
      <c r="A7">
        <f>"2024-12-09"</f>
        <v/>
      </c>
      <c r="B7">
        <f>"22:00:42"</f>
        <v/>
      </c>
      <c r="C7">
        <f>"SONN"</f>
        <v/>
      </c>
      <c r="D7">
        <f>"Sonnet BioTherapeutics Holdings Inc."</f>
        <v/>
      </c>
      <c r="E7">
        <f>"卖出"</f>
        <v/>
      </c>
      <c r="F7">
        <f>"97"</f>
        <v/>
      </c>
      <c r="G7">
        <f>"3.900"</f>
        <v/>
      </c>
      <c r="H7">
        <f>"378.30"</f>
        <v/>
      </c>
      <c r="I7">
        <f>"美元"</f>
        <v/>
      </c>
    </row>
    <row r="8">
      <c r="A8">
        <f>"2024-12-09"</f>
        <v/>
      </c>
      <c r="B8">
        <f>"22:00:40"</f>
        <v/>
      </c>
      <c r="C8">
        <f>"SONN"</f>
        <v/>
      </c>
      <c r="D8">
        <f>"Sonnet BioTherapeutics Holdings Inc."</f>
        <v/>
      </c>
      <c r="E8">
        <f>"卖出"</f>
        <v/>
      </c>
      <c r="F8">
        <f>"28"</f>
        <v/>
      </c>
      <c r="G8">
        <f>"3.900"</f>
        <v/>
      </c>
      <c r="H8">
        <f>"109.20"</f>
        <v/>
      </c>
      <c r="I8">
        <f>"美元"</f>
        <v/>
      </c>
    </row>
    <row r="9">
      <c r="A9">
        <f>"2024-12-09"</f>
        <v/>
      </c>
      <c r="B9">
        <f>"22:00:37"</f>
        <v/>
      </c>
      <c r="C9">
        <f>"SONN"</f>
        <v/>
      </c>
      <c r="D9">
        <f>"Sonnet BioTherapeutics Holdings Inc."</f>
        <v/>
      </c>
      <c r="E9">
        <f>"卖出"</f>
        <v/>
      </c>
      <c r="F9">
        <f>"1000"</f>
        <v/>
      </c>
      <c r="G9">
        <f>"3.900"</f>
        <v/>
      </c>
      <c r="H9">
        <f>"3900.00"</f>
        <v/>
      </c>
      <c r="I9">
        <f>"美元"</f>
        <v/>
      </c>
    </row>
    <row r="10">
      <c r="A10">
        <f>"2024-12-09"</f>
        <v/>
      </c>
      <c r="B10">
        <f>"22:00:37"</f>
        <v/>
      </c>
      <c r="C10">
        <f>"SONN"</f>
        <v/>
      </c>
      <c r="D10">
        <f>"Sonnet BioTherapeutics Holdings Inc."</f>
        <v/>
      </c>
      <c r="E10">
        <f>"卖出"</f>
        <v/>
      </c>
      <c r="F10">
        <f>"25"</f>
        <v/>
      </c>
      <c r="G10">
        <f>"3.900"</f>
        <v/>
      </c>
      <c r="H10">
        <f>"97.50"</f>
        <v/>
      </c>
      <c r="I10">
        <f>"美元"</f>
        <v/>
      </c>
    </row>
    <row r="11">
      <c r="A11">
        <f>"2024-12-09"</f>
        <v/>
      </c>
      <c r="B11">
        <f>"22:00:36"</f>
        <v/>
      </c>
      <c r="C11">
        <f>"SONN"</f>
        <v/>
      </c>
      <c r="D11">
        <f>"Sonnet BioTherapeutics Holdings Inc."</f>
        <v/>
      </c>
      <c r="E11">
        <f>"卖出"</f>
        <v/>
      </c>
      <c r="F11">
        <f>"500"</f>
        <v/>
      </c>
      <c r="G11">
        <f>"3.900"</f>
        <v/>
      </c>
      <c r="H11">
        <f>"1950.00"</f>
        <v/>
      </c>
      <c r="I11">
        <f>"美元"</f>
        <v/>
      </c>
    </row>
    <row r="12">
      <c r="A12">
        <f>"2024-12-09"</f>
        <v/>
      </c>
      <c r="B12">
        <f>"22:00:36"</f>
        <v/>
      </c>
      <c r="C12">
        <f>"SONN"</f>
        <v/>
      </c>
      <c r="D12">
        <f>"Sonnet BioTherapeutics Holdings Inc."</f>
        <v/>
      </c>
      <c r="E12">
        <f>"卖出"</f>
        <v/>
      </c>
      <c r="F12">
        <f>"100"</f>
        <v/>
      </c>
      <c r="G12">
        <f>"3.900"</f>
        <v/>
      </c>
      <c r="H12">
        <f>"390.00"</f>
        <v/>
      </c>
      <c r="I12">
        <f>"美元"</f>
        <v/>
      </c>
    </row>
    <row r="13">
      <c r="A13">
        <f>"2024-12-09"</f>
        <v/>
      </c>
      <c r="B13">
        <f>"22:00:36"</f>
        <v/>
      </c>
      <c r="C13">
        <f>"SONN"</f>
        <v/>
      </c>
      <c r="D13">
        <f>"Sonnet BioTherapeutics Holdings Inc."</f>
        <v/>
      </c>
      <c r="E13">
        <f>"卖出"</f>
        <v/>
      </c>
      <c r="F13">
        <f>"457"</f>
        <v/>
      </c>
      <c r="G13">
        <f>"3.900"</f>
        <v/>
      </c>
      <c r="H13">
        <f>"1782.30"</f>
        <v/>
      </c>
      <c r="I13">
        <f>"美元"</f>
        <v/>
      </c>
    </row>
    <row r="14">
      <c r="A14">
        <f>"2024-12-09"</f>
        <v/>
      </c>
      <c r="B14">
        <f>"22:00:36"</f>
        <v/>
      </c>
      <c r="C14">
        <f>"SONN"</f>
        <v/>
      </c>
      <c r="D14">
        <f>"Sonnet BioTherapeutics Holdings Inc."</f>
        <v/>
      </c>
      <c r="E14">
        <f>"卖出"</f>
        <v/>
      </c>
      <c r="F14">
        <f>"10"</f>
        <v/>
      </c>
      <c r="G14">
        <f>"3.900"</f>
        <v/>
      </c>
      <c r="H14">
        <f>"39.00"</f>
        <v/>
      </c>
      <c r="I14">
        <f>"美元"</f>
        <v/>
      </c>
    </row>
    <row r="15">
      <c r="A15">
        <f>"2024-12-09"</f>
        <v/>
      </c>
      <c r="B15">
        <f>"22:00:36"</f>
        <v/>
      </c>
      <c r="C15">
        <f>"SONN"</f>
        <v/>
      </c>
      <c r="D15">
        <f>"Sonnet BioTherapeutics Holdings Inc."</f>
        <v/>
      </c>
      <c r="E15">
        <f>"卖出"</f>
        <v/>
      </c>
      <c r="F15">
        <f>"148"</f>
        <v/>
      </c>
      <c r="G15">
        <f>"3.900"</f>
        <v/>
      </c>
      <c r="H15">
        <f>"577.20"</f>
        <v/>
      </c>
      <c r="I15">
        <f>"美元"</f>
        <v/>
      </c>
    </row>
    <row r="16">
      <c r="A16">
        <f>"2024-12-09"</f>
        <v/>
      </c>
      <c r="B16">
        <f>"22:00:36"</f>
        <v/>
      </c>
      <c r="C16">
        <f>"SONN"</f>
        <v/>
      </c>
      <c r="D16">
        <f>"Sonnet BioTherapeutics Holdings Inc."</f>
        <v/>
      </c>
      <c r="E16">
        <f>"卖出"</f>
        <v/>
      </c>
      <c r="F16">
        <f>"50"</f>
        <v/>
      </c>
      <c r="G16">
        <f>"3.900"</f>
        <v/>
      </c>
      <c r="H16">
        <f>"195.00"</f>
        <v/>
      </c>
      <c r="I16">
        <f>"美元"</f>
        <v/>
      </c>
    </row>
    <row r="17">
      <c r="A17">
        <f>"2024-12-09"</f>
        <v/>
      </c>
      <c r="B17">
        <f>"22:00:36"</f>
        <v/>
      </c>
      <c r="C17">
        <f>"SONN"</f>
        <v/>
      </c>
      <c r="D17">
        <f>"Sonnet BioTherapeutics Holdings Inc."</f>
        <v/>
      </c>
      <c r="E17">
        <f>"卖出"</f>
        <v/>
      </c>
      <c r="F17">
        <f>"870"</f>
        <v/>
      </c>
      <c r="G17">
        <f>"3.900"</f>
        <v/>
      </c>
      <c r="H17">
        <f>"3393.00"</f>
        <v/>
      </c>
      <c r="I17">
        <f>"美元"</f>
        <v/>
      </c>
    </row>
    <row r="18">
      <c r="A18">
        <f>"2024-12-09"</f>
        <v/>
      </c>
      <c r="B18">
        <f>"22:00:36"</f>
        <v/>
      </c>
      <c r="C18">
        <f>"SONN"</f>
        <v/>
      </c>
      <c r="D18">
        <f>"Sonnet BioTherapeutics Holdings Inc."</f>
        <v/>
      </c>
      <c r="E18">
        <f>"卖出"</f>
        <v/>
      </c>
      <c r="F18">
        <f>"30"</f>
        <v/>
      </c>
      <c r="G18">
        <f>"3.900"</f>
        <v/>
      </c>
      <c r="H18">
        <f>"117.00"</f>
        <v/>
      </c>
      <c r="I18">
        <f>"美元"</f>
        <v/>
      </c>
    </row>
    <row r="19">
      <c r="A19">
        <f>"2024-12-09"</f>
        <v/>
      </c>
      <c r="B19">
        <f>"22:00:35"</f>
        <v/>
      </c>
      <c r="C19">
        <f>"SONN"</f>
        <v/>
      </c>
      <c r="D19">
        <f>"Sonnet BioTherapeutics Holdings Inc."</f>
        <v/>
      </c>
      <c r="E19">
        <f>"卖出"</f>
        <v/>
      </c>
      <c r="F19">
        <f>"500"</f>
        <v/>
      </c>
      <c r="G19">
        <f>"3.900"</f>
        <v/>
      </c>
      <c r="H19">
        <f>"1950.00"</f>
        <v/>
      </c>
      <c r="I19">
        <f>"美元"</f>
        <v/>
      </c>
    </row>
    <row r="20">
      <c r="A20">
        <f>"2024-12-09"</f>
        <v/>
      </c>
      <c r="B20">
        <f>"22:00:35"</f>
        <v/>
      </c>
      <c r="C20">
        <f>"SONN"</f>
        <v/>
      </c>
      <c r="D20">
        <f>"Sonnet BioTherapeutics Holdings Inc."</f>
        <v/>
      </c>
      <c r="E20">
        <f>"卖出"</f>
        <v/>
      </c>
      <c r="F20">
        <f>"300"</f>
        <v/>
      </c>
      <c r="G20">
        <f>"3.900"</f>
        <v/>
      </c>
      <c r="H20">
        <f>"1170.00"</f>
        <v/>
      </c>
      <c r="I20">
        <f>"美元"</f>
        <v/>
      </c>
    </row>
    <row r="21">
      <c r="A21">
        <f>"2024-11-12"</f>
        <v/>
      </c>
      <c r="B21">
        <f>"06:31:49"</f>
        <v/>
      </c>
      <c r="C21">
        <f>"SONN"</f>
        <v/>
      </c>
      <c r="D21">
        <f>"Sonnet BioTherapeutics Holdings Inc."</f>
        <v/>
      </c>
      <c r="E21">
        <f>"买入"</f>
        <v/>
      </c>
      <c r="F21">
        <f>"27"</f>
        <v/>
      </c>
      <c r="G21">
        <f>"2.960"</f>
        <v/>
      </c>
      <c r="H21">
        <f>"79.92"</f>
        <v/>
      </c>
      <c r="I21">
        <f>"美元"</f>
        <v/>
      </c>
    </row>
    <row r="22">
      <c r="A22">
        <f>"2024-11-12"</f>
        <v/>
      </c>
      <c r="B22">
        <f>"06:31:49"</f>
        <v/>
      </c>
      <c r="C22">
        <f>"SONN"</f>
        <v/>
      </c>
      <c r="D22">
        <f>"Sonnet BioTherapeutics Holdings Inc."</f>
        <v/>
      </c>
      <c r="E22">
        <f>"买入"</f>
        <v/>
      </c>
      <c r="F22">
        <f>"878"</f>
        <v/>
      </c>
      <c r="G22">
        <f>"2.960"</f>
        <v/>
      </c>
      <c r="H22">
        <f>"2598.88"</f>
        <v/>
      </c>
      <c r="I22">
        <f>"美元"</f>
        <v/>
      </c>
    </row>
    <row r="23">
      <c r="A23">
        <f>"2024-11-12"</f>
        <v/>
      </c>
      <c r="B23">
        <f>"06:31:49"</f>
        <v/>
      </c>
      <c r="C23">
        <f>"SONN"</f>
        <v/>
      </c>
      <c r="D23">
        <f>"Sonnet BioTherapeutics Holdings Inc."</f>
        <v/>
      </c>
      <c r="E23">
        <f>"买入"</f>
        <v/>
      </c>
      <c r="F23">
        <f>"100"</f>
        <v/>
      </c>
      <c r="G23">
        <f>"2.960"</f>
        <v/>
      </c>
      <c r="H23">
        <f>"296.00"</f>
        <v/>
      </c>
      <c r="I23">
        <f>"美元"</f>
        <v/>
      </c>
    </row>
    <row r="24">
      <c r="A24">
        <f>"2024-11-12"</f>
        <v/>
      </c>
      <c r="B24">
        <f>"06:30:46"</f>
        <v/>
      </c>
      <c r="C24">
        <f>"SONN"</f>
        <v/>
      </c>
      <c r="D24">
        <f>"Sonnet BioTherapeutics Holdings Inc."</f>
        <v/>
      </c>
      <c r="E24">
        <f>"买入"</f>
        <v/>
      </c>
      <c r="F24">
        <f>"22"</f>
        <v/>
      </c>
      <c r="G24">
        <f>"2.960"</f>
        <v/>
      </c>
      <c r="H24">
        <f>"65.12"</f>
        <v/>
      </c>
      <c r="I24">
        <f>"美元"</f>
        <v/>
      </c>
    </row>
    <row r="25">
      <c r="A25">
        <f>"2024-11-12"</f>
        <v/>
      </c>
      <c r="B25">
        <f>"06:27:24"</f>
        <v/>
      </c>
      <c r="C25">
        <f>"SONN"</f>
        <v/>
      </c>
      <c r="D25">
        <f>"Sonnet BioTherapeutics Holdings Inc."</f>
        <v/>
      </c>
      <c r="E25">
        <f>"买入"</f>
        <v/>
      </c>
      <c r="F25">
        <f>"100"</f>
        <v/>
      </c>
      <c r="G25">
        <f>"2.960"</f>
        <v/>
      </c>
      <c r="H25">
        <f>"296.00"</f>
        <v/>
      </c>
      <c r="I25">
        <f>"美元"</f>
        <v/>
      </c>
    </row>
    <row r="26">
      <c r="A26">
        <f>"2024-11-12"</f>
        <v/>
      </c>
      <c r="B26">
        <f>"06:27:24"</f>
        <v/>
      </c>
      <c r="C26">
        <f>"SONN"</f>
        <v/>
      </c>
      <c r="D26">
        <f>"Sonnet BioTherapeutics Holdings Inc."</f>
        <v/>
      </c>
      <c r="E26">
        <f>"买入"</f>
        <v/>
      </c>
      <c r="F26">
        <f>"100"</f>
        <v/>
      </c>
      <c r="G26">
        <f>"2.960"</f>
        <v/>
      </c>
      <c r="H26">
        <f>"296.00"</f>
        <v/>
      </c>
      <c r="I26">
        <f>"美元"</f>
        <v/>
      </c>
    </row>
    <row r="27">
      <c r="A27">
        <f>"2024-11-12"</f>
        <v/>
      </c>
      <c r="B27">
        <f>"05:34:18"</f>
        <v/>
      </c>
      <c r="C27">
        <f>"MMM"</f>
        <v/>
      </c>
      <c r="D27">
        <f>"3M公司"</f>
        <v/>
      </c>
      <c r="E27">
        <f>"卖出"</f>
        <v/>
      </c>
      <c r="F27">
        <f>"59"</f>
        <v/>
      </c>
      <c r="G27">
        <f>"131.530"</f>
        <v/>
      </c>
      <c r="H27">
        <f>"7760.27"</f>
        <v/>
      </c>
      <c r="I27">
        <f>"美元"</f>
        <v/>
      </c>
    </row>
    <row r="28">
      <c r="A28">
        <f>"2024-11-12"</f>
        <v/>
      </c>
      <c r="B28">
        <f>"05:34:18"</f>
        <v/>
      </c>
      <c r="C28">
        <f>"MMM"</f>
        <v/>
      </c>
      <c r="D28">
        <f>"3M公司"</f>
        <v/>
      </c>
      <c r="E28">
        <f>"卖出"</f>
        <v/>
      </c>
      <c r="F28">
        <f>"38"</f>
        <v/>
      </c>
      <c r="G28">
        <f>"131.550"</f>
        <v/>
      </c>
      <c r="H28">
        <f>"4998.90"</f>
        <v/>
      </c>
      <c r="I28">
        <f>"美元"</f>
        <v/>
      </c>
    </row>
    <row r="29">
      <c r="A29">
        <f>"2024-11-08"</f>
        <v/>
      </c>
      <c r="B29">
        <f>"20:47:37"</f>
        <v/>
      </c>
      <c r="C29">
        <f>"OCGN"</f>
        <v/>
      </c>
      <c r="D29">
        <f>"Ocugen Inc."</f>
        <v/>
      </c>
      <c r="E29">
        <f>"卖出"</f>
        <v/>
      </c>
      <c r="F29">
        <f>"150"</f>
        <v/>
      </c>
      <c r="G29">
        <f>"1.190"</f>
        <v/>
      </c>
      <c r="H29">
        <f>"178.50"</f>
        <v/>
      </c>
      <c r="I29">
        <f>"美元"</f>
        <v/>
      </c>
    </row>
    <row r="30">
      <c r="A30">
        <f>"2024-11-08"</f>
        <v/>
      </c>
      <c r="B30">
        <f>"20:44:58"</f>
        <v/>
      </c>
      <c r="C30">
        <f>"OCGN"</f>
        <v/>
      </c>
      <c r="D30">
        <f>"Ocugen Inc."</f>
        <v/>
      </c>
      <c r="E30">
        <f>"卖出"</f>
        <v/>
      </c>
      <c r="F30">
        <f>"90"</f>
        <v/>
      </c>
      <c r="G30">
        <f>"1.190"</f>
        <v/>
      </c>
      <c r="H30">
        <f>"107.10"</f>
        <v/>
      </c>
      <c r="I30">
        <f>"美元"</f>
        <v/>
      </c>
    </row>
    <row r="31">
      <c r="A31">
        <f>"2024-11-08"</f>
        <v/>
      </c>
      <c r="B31">
        <f>"20:44:41"</f>
        <v/>
      </c>
      <c r="C31">
        <f>"OCGN"</f>
        <v/>
      </c>
      <c r="D31">
        <f>"Ocugen Inc."</f>
        <v/>
      </c>
      <c r="E31">
        <f>"卖出"</f>
        <v/>
      </c>
      <c r="F31">
        <f>"125"</f>
        <v/>
      </c>
      <c r="G31">
        <f>"1.190"</f>
        <v/>
      </c>
      <c r="H31">
        <f>"148.75"</f>
        <v/>
      </c>
      <c r="I31">
        <f>"美元"</f>
        <v/>
      </c>
    </row>
    <row r="32">
      <c r="A32">
        <f>"2024-11-08"</f>
        <v/>
      </c>
      <c r="B32">
        <f>"00:29:00"</f>
        <v/>
      </c>
      <c r="C32">
        <f>"TOELY"</f>
        <v/>
      </c>
      <c r="D32">
        <f>"TOKYO ELECTRON LTD"</f>
        <v/>
      </c>
      <c r="E32">
        <f>"买入"</f>
        <v/>
      </c>
      <c r="F32">
        <f>"96"</f>
        <v/>
      </c>
      <c r="G32">
        <f>"74.960"</f>
        <v/>
      </c>
      <c r="H32">
        <f>"7196.16"</f>
        <v/>
      </c>
      <c r="I32">
        <f>"美元"</f>
        <v/>
      </c>
    </row>
    <row r="33">
      <c r="A33">
        <f>"2024-11-07"</f>
        <v/>
      </c>
      <c r="B33">
        <f>"17:42:16"</f>
        <v/>
      </c>
      <c r="C33">
        <f>"SONN"</f>
        <v/>
      </c>
      <c r="D33">
        <f>"Sonnet BioTherapeutics Holdings Inc."</f>
        <v/>
      </c>
      <c r="E33">
        <f>"买入"</f>
        <v/>
      </c>
      <c r="F33">
        <f>"414"</f>
        <v/>
      </c>
      <c r="G33">
        <f>"3.520"</f>
        <v/>
      </c>
      <c r="H33">
        <f>"1457.28"</f>
        <v/>
      </c>
      <c r="I33">
        <f>"美元"</f>
        <v/>
      </c>
    </row>
    <row r="34">
      <c r="A34">
        <f>"2024-11-07"</f>
        <v/>
      </c>
      <c r="B34">
        <f>"17:42:06"</f>
        <v/>
      </c>
      <c r="C34">
        <f>"SONN"</f>
        <v/>
      </c>
      <c r="D34">
        <f>"Sonnet BioTherapeutics Holdings Inc."</f>
        <v/>
      </c>
      <c r="E34">
        <f>"买入"</f>
        <v/>
      </c>
      <c r="F34">
        <f>"32"</f>
        <v/>
      </c>
      <c r="G34">
        <f>"3.520"</f>
        <v/>
      </c>
      <c r="H34">
        <f>"112.64"</f>
        <v/>
      </c>
      <c r="I34">
        <f>"美元"</f>
        <v/>
      </c>
    </row>
    <row r="35">
      <c r="A35">
        <f>"2024-11-07"</f>
        <v/>
      </c>
      <c r="B35">
        <f>"17:41:14"</f>
        <v/>
      </c>
      <c r="C35">
        <f>"SONN"</f>
        <v/>
      </c>
      <c r="D35">
        <f>"Sonnet BioTherapeutics Holdings Inc."</f>
        <v/>
      </c>
      <c r="E35">
        <f>"买入"</f>
        <v/>
      </c>
      <c r="F35">
        <f>"13"</f>
        <v/>
      </c>
      <c r="G35">
        <f>"3.520"</f>
        <v/>
      </c>
      <c r="H35">
        <f>"45.76"</f>
        <v/>
      </c>
      <c r="I35">
        <f>"美元"</f>
        <v/>
      </c>
    </row>
    <row r="36">
      <c r="A36">
        <f>"2024-11-07"</f>
        <v/>
      </c>
      <c r="B36">
        <f>"17:40:08"</f>
        <v/>
      </c>
      <c r="C36">
        <f>"SONN"</f>
        <v/>
      </c>
      <c r="D36">
        <f>"Sonnet BioTherapeutics Holdings Inc."</f>
        <v/>
      </c>
      <c r="E36">
        <f>"买入"</f>
        <v/>
      </c>
      <c r="F36">
        <f>"4"</f>
        <v/>
      </c>
      <c r="G36">
        <f>"3.520"</f>
        <v/>
      </c>
      <c r="H36">
        <f>"14.08"</f>
        <v/>
      </c>
      <c r="I36">
        <f>"美元"</f>
        <v/>
      </c>
    </row>
    <row r="37">
      <c r="A37">
        <f>"2024-11-07"</f>
        <v/>
      </c>
      <c r="B37">
        <f>"17:39:22"</f>
        <v/>
      </c>
      <c r="C37">
        <f>"SONN"</f>
        <v/>
      </c>
      <c r="D37">
        <f>"Sonnet BioTherapeutics Holdings Inc."</f>
        <v/>
      </c>
      <c r="E37">
        <f>"买入"</f>
        <v/>
      </c>
      <c r="F37">
        <f>"109"</f>
        <v/>
      </c>
      <c r="G37">
        <f>"3.520"</f>
        <v/>
      </c>
      <c r="H37">
        <f>"383.68"</f>
        <v/>
      </c>
      <c r="I37">
        <f>"美元"</f>
        <v/>
      </c>
    </row>
    <row r="38">
      <c r="A38">
        <f>"2024-11-07"</f>
        <v/>
      </c>
      <c r="B38">
        <f>"17:39:20"</f>
        <v/>
      </c>
      <c r="C38">
        <f>"SONN"</f>
        <v/>
      </c>
      <c r="D38">
        <f>"Sonnet BioTherapeutics Holdings Inc."</f>
        <v/>
      </c>
      <c r="E38">
        <f>"买入"</f>
        <v/>
      </c>
      <c r="F38">
        <f>"191"</f>
        <v/>
      </c>
      <c r="G38">
        <f>"3.520"</f>
        <v/>
      </c>
      <c r="H38">
        <f>"672.32"</f>
        <v/>
      </c>
      <c r="I38">
        <f>"美元"</f>
        <v/>
      </c>
    </row>
    <row r="39">
      <c r="A39">
        <f>"2024-11-07"</f>
        <v/>
      </c>
      <c r="B39">
        <f>"17:39:18"</f>
        <v/>
      </c>
      <c r="C39">
        <f>"SONN"</f>
        <v/>
      </c>
      <c r="D39">
        <f>"Sonnet BioTherapeutics Holdings Inc."</f>
        <v/>
      </c>
      <c r="E39">
        <f>"买入"</f>
        <v/>
      </c>
      <c r="F39">
        <f>"9"</f>
        <v/>
      </c>
      <c r="G39">
        <f>"3.520"</f>
        <v/>
      </c>
      <c r="H39">
        <f>"31.68"</f>
        <v/>
      </c>
      <c r="I39">
        <f>"美元"</f>
        <v/>
      </c>
    </row>
    <row r="40">
      <c r="A40">
        <f>"2024-11-07"</f>
        <v/>
      </c>
      <c r="B40">
        <f>"17:39:12"</f>
        <v/>
      </c>
      <c r="C40">
        <f>"SONN"</f>
        <v/>
      </c>
      <c r="D40">
        <f>"Sonnet BioTherapeutics Holdings Inc."</f>
        <v/>
      </c>
      <c r="E40">
        <f>"买入"</f>
        <v/>
      </c>
      <c r="F40">
        <f>"100"</f>
        <v/>
      </c>
      <c r="G40">
        <f>"3.520"</f>
        <v/>
      </c>
      <c r="H40">
        <f>"352.00"</f>
        <v/>
      </c>
      <c r="I40">
        <f>"美元"</f>
        <v/>
      </c>
    </row>
    <row r="41">
      <c r="A41">
        <f>"2024-11-07"</f>
        <v/>
      </c>
      <c r="B41">
        <f>"17:37:51"</f>
        <v/>
      </c>
      <c r="C41">
        <f>"SONN"</f>
        <v/>
      </c>
      <c r="D41">
        <f>"Sonnet BioTherapeutics Holdings Inc."</f>
        <v/>
      </c>
      <c r="E41">
        <f>"买入"</f>
        <v/>
      </c>
      <c r="F41">
        <f>"64"</f>
        <v/>
      </c>
      <c r="G41">
        <f>"3.520"</f>
        <v/>
      </c>
      <c r="H41">
        <f>"225.28"</f>
        <v/>
      </c>
      <c r="I41">
        <f>"美元"</f>
        <v/>
      </c>
    </row>
    <row r="42">
      <c r="A42">
        <f>"2024-11-07"</f>
        <v/>
      </c>
      <c r="B42">
        <f>"17:37:44"</f>
        <v/>
      </c>
      <c r="C42">
        <f>"SONN"</f>
        <v/>
      </c>
      <c r="D42">
        <f>"Sonnet BioTherapeutics Holdings Inc."</f>
        <v/>
      </c>
      <c r="E42">
        <f>"买入"</f>
        <v/>
      </c>
      <c r="F42">
        <f>"100"</f>
        <v/>
      </c>
      <c r="G42">
        <f>"3.520"</f>
        <v/>
      </c>
      <c r="H42">
        <f>"352.00"</f>
        <v/>
      </c>
      <c r="I42">
        <f>"美元"</f>
        <v/>
      </c>
    </row>
    <row r="43">
      <c r="A43">
        <f>"2024-11-07"</f>
        <v/>
      </c>
      <c r="B43">
        <f>"17:37:43"</f>
        <v/>
      </c>
      <c r="C43">
        <f>"SONN"</f>
        <v/>
      </c>
      <c r="D43">
        <f>"Sonnet BioTherapeutics Holdings Inc."</f>
        <v/>
      </c>
      <c r="E43">
        <f>"买入"</f>
        <v/>
      </c>
      <c r="F43">
        <f>"170"</f>
        <v/>
      </c>
      <c r="G43">
        <f>"3.520"</f>
        <v/>
      </c>
      <c r="H43">
        <f>"598.40"</f>
        <v/>
      </c>
      <c r="I43">
        <f>"美元"</f>
        <v/>
      </c>
    </row>
    <row r="44">
      <c r="A44">
        <f>"2024-11-07"</f>
        <v/>
      </c>
      <c r="B44">
        <f>"17:37:43"</f>
        <v/>
      </c>
      <c r="C44">
        <f>"SONN"</f>
        <v/>
      </c>
      <c r="D44">
        <f>"Sonnet BioTherapeutics Holdings Inc."</f>
        <v/>
      </c>
      <c r="E44">
        <f>"买入"</f>
        <v/>
      </c>
      <c r="F44">
        <f>"19"</f>
        <v/>
      </c>
      <c r="G44">
        <f>"3.520"</f>
        <v/>
      </c>
      <c r="H44">
        <f>"66.88"</f>
        <v/>
      </c>
      <c r="I44">
        <f>"美元"</f>
        <v/>
      </c>
    </row>
    <row r="45">
      <c r="A45">
        <f>"2024-11-07"</f>
        <v/>
      </c>
      <c r="B45">
        <f>"17:37:41"</f>
        <v/>
      </c>
      <c r="C45">
        <f>"SONN"</f>
        <v/>
      </c>
      <c r="D45">
        <f>"Sonnet BioTherapeutics Holdings Inc."</f>
        <v/>
      </c>
      <c r="E45">
        <f>"买入"</f>
        <v/>
      </c>
      <c r="F45">
        <f>"500"</f>
        <v/>
      </c>
      <c r="G45">
        <f>"3.520"</f>
        <v/>
      </c>
      <c r="H45">
        <f>"1760.00"</f>
        <v/>
      </c>
      <c r="I45">
        <f>"美元"</f>
        <v/>
      </c>
    </row>
    <row r="46">
      <c r="A46">
        <f>"2024-11-07"</f>
        <v/>
      </c>
      <c r="B46">
        <f>"17:37:36"</f>
        <v/>
      </c>
      <c r="C46">
        <f>"SONN"</f>
        <v/>
      </c>
      <c r="D46">
        <f>"Sonnet BioTherapeutics Holdings Inc."</f>
        <v/>
      </c>
      <c r="E46">
        <f>"买入"</f>
        <v/>
      </c>
      <c r="F46">
        <f>"38"</f>
        <v/>
      </c>
      <c r="G46">
        <f>"3.520"</f>
        <v/>
      </c>
      <c r="H46">
        <f>"133.76"</f>
        <v/>
      </c>
      <c r="I46">
        <f>"美元"</f>
        <v/>
      </c>
    </row>
    <row r="47">
      <c r="A47">
        <f>"2024-11-07"</f>
        <v/>
      </c>
      <c r="B47">
        <f>"17:37:34"</f>
        <v/>
      </c>
      <c r="C47">
        <f>"SONN"</f>
        <v/>
      </c>
      <c r="D47">
        <f>"Sonnet BioTherapeutics Holdings Inc."</f>
        <v/>
      </c>
      <c r="E47">
        <f>"买入"</f>
        <v/>
      </c>
      <c r="F47">
        <f>"61"</f>
        <v/>
      </c>
      <c r="G47">
        <f>"3.520"</f>
        <v/>
      </c>
      <c r="H47">
        <f>"214.72"</f>
        <v/>
      </c>
      <c r="I47">
        <f>"美元"</f>
        <v/>
      </c>
    </row>
    <row r="48">
      <c r="A48">
        <f>"2024-11-07"</f>
        <v/>
      </c>
      <c r="B48">
        <f>"17:37:14"</f>
        <v/>
      </c>
      <c r="C48">
        <f>"SONN"</f>
        <v/>
      </c>
      <c r="D48">
        <f>"Sonnet BioTherapeutics Holdings Inc."</f>
        <v/>
      </c>
      <c r="E48">
        <f>"买入"</f>
        <v/>
      </c>
      <c r="F48">
        <f>"80"</f>
        <v/>
      </c>
      <c r="G48">
        <f>"3.520"</f>
        <v/>
      </c>
      <c r="H48">
        <f>"281.60"</f>
        <v/>
      </c>
      <c r="I48">
        <f>"美元"</f>
        <v/>
      </c>
    </row>
    <row r="49">
      <c r="A49">
        <f>"2024-11-07"</f>
        <v/>
      </c>
      <c r="B49">
        <f>"17:36:47"</f>
        <v/>
      </c>
      <c r="C49">
        <f>"SONN"</f>
        <v/>
      </c>
      <c r="D49">
        <f>"Sonnet BioTherapeutics Holdings Inc."</f>
        <v/>
      </c>
      <c r="E49">
        <f>"买入"</f>
        <v/>
      </c>
      <c r="F49">
        <f>"200"</f>
        <v/>
      </c>
      <c r="G49">
        <f>"3.520"</f>
        <v/>
      </c>
      <c r="H49">
        <f>"704.00"</f>
        <v/>
      </c>
      <c r="I49">
        <f>"美元"</f>
        <v/>
      </c>
    </row>
    <row r="50">
      <c r="A50">
        <f>"2024-11-07"</f>
        <v/>
      </c>
      <c r="B50">
        <f>"17:36:34"</f>
        <v/>
      </c>
      <c r="C50">
        <f>"SONN"</f>
        <v/>
      </c>
      <c r="D50">
        <f>"Sonnet BioTherapeutics Holdings Inc."</f>
        <v/>
      </c>
      <c r="E50">
        <f>"买入"</f>
        <v/>
      </c>
      <c r="F50">
        <f>"39"</f>
        <v/>
      </c>
      <c r="G50">
        <f>"3.520"</f>
        <v/>
      </c>
      <c r="H50">
        <f>"137.28"</f>
        <v/>
      </c>
      <c r="I50">
        <f>"美元"</f>
        <v/>
      </c>
    </row>
    <row r="51">
      <c r="A51">
        <f>"2024-11-07"</f>
        <v/>
      </c>
      <c r="B51">
        <f>"17:36:06"</f>
        <v/>
      </c>
      <c r="C51">
        <f>"SONN"</f>
        <v/>
      </c>
      <c r="D51">
        <f>"Sonnet BioTherapeutics Holdings Inc."</f>
        <v/>
      </c>
      <c r="E51">
        <f>"买入"</f>
        <v/>
      </c>
      <c r="F51">
        <f>"50"</f>
        <v/>
      </c>
      <c r="G51">
        <f>"3.520"</f>
        <v/>
      </c>
      <c r="H51">
        <f>"176.00"</f>
        <v/>
      </c>
      <c r="I51">
        <f>"美元"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2026-06-18T16:34:08Z</dcterms:created>
  <dcterms:modified xmlns:dcterms="http://purl.org/dc/terms/" xmlns:xsi="http://www.w3.org/2001/XMLSchema-instance" xsi:type="dcterms:W3CDTF">2026-06-18T16:34:09Z</dcterms:modified>
</cp:coreProperties>
</file>